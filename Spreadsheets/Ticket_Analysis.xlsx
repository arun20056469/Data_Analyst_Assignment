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<sst xmlns="http://schemas.openxmlformats.org/spreadsheetml/2006/main" count="34" uniqueCount="29">
  <si>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ticket_id</t>
  </si>
  <si>
    <t>created_at</t>
  </si>
  <si>
    <t>closed_at</t>
  </si>
  <si>
    <t>outlet_id</t>
  </si>
  <si>
    <t>cms_id</t>
  </si>
  <si>
    <t>Same Day</t>
  </si>
  <si>
    <t>Same Hour</t>
  </si>
  <si>
    <t>Outlet ID</t>
  </si>
  <si>
    <t>Same Day Count</t>
  </si>
  <si>
    <t>Same Hour Count</t>
  </si>
  <si>
    <t>2026-01-01 10:00:00</t>
  </si>
  <si>
    <t>2026-01-01 10:30:00</t>
  </si>
  <si>
    <t>CMS001</t>
  </si>
  <si>
    <t>2026-01-01 11:00:00</t>
  </si>
  <si>
    <t>2026-01-02 12:00:00</t>
  </si>
  <si>
    <t>CMS002</t>
  </si>
  <si>
    <t>2026-01-02 09:00:00</t>
  </si>
  <si>
    <t>2026-01-02 09:15:00</t>
  </si>
  <si>
    <t>CMS003</t>
  </si>
  <si>
    <t>2026-01-02 14:00:00</t>
  </si>
  <si>
    <t>2026-01-02 16:00:00</t>
  </si>
  <si>
    <t>CMS004</t>
  </si>
  <si>
    <t>feedback_at</t>
  </si>
  <si>
    <t>feedback_rating</t>
  </si>
  <si>
    <t>ticket_created_at</t>
  </si>
  <si>
    <t>2026-01-02 11:00:00</t>
  </si>
  <si>
    <t>2026-01-03 13:00:00</t>
  </si>
  <si>
    <t>2026-01-02 10:00:00</t>
  </si>
  <si>
    <t>2026-01-02 18:00:00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</si>
</sst>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opLeftCell="A46" workbookViewId="0">
      <selection activeCell="A1" sqref="A1"/>
    </sheetView>
  </sheetViews>
  <sheetFormatPr defaultColWidth="9" defaultRowHeight="14.4" outlineLevelRow="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 t="s">
        <v>10</v>
      </c>
      <c r="C2" t="s">
        <v>11</v>
      </c>
      <c r="D2">
        <v>101</v>
      </c>
      <c r="E2" t="s">
        <v>12</v>
      </c>
      <c r="F2" t="str">
        <f>IF(INT(B2)=INT(C2),"Yes","No")</f>
        <v>Yes</v>
      </c>
      <c r="G2" t="str">
        <f>IF(AND(INT(B2)=INT(C2),HOUR(B2)=HOUR(C2)),"Yes","No")</f>
        <v>Yes</v>
      </c>
      <c r="I2">
        <v>101</v>
      </c>
      <c r="J2">
        <f>COUNTIFS(D:D,I2,F:F,"Yes")</f>
        <v>2</v>
      </c>
      <c r="K2">
        <f>COUNTIFS(D:D,I2,G:G,"Yes")</f>
        <v>2</v>
      </c>
    </row>
    <row r="3" spans="1:11">
      <c r="A3">
        <v>2</v>
      </c>
      <c r="B3" t="s">
        <v>13</v>
      </c>
      <c r="C3" t="s">
        <v>14</v>
      </c>
      <c r="D3">
        <v>102</v>
      </c>
      <c r="E3" t="s">
        <v>15</v>
      </c>
      <c r="F3" t="str">
        <f>IF(INT(B3)=INT(C3),"Yes","No")</f>
        <v>No</v>
      </c>
      <c r="G3" t="str">
        <f>IF(AND(INT(B3)=INT(C3),HOUR(B3)=HOUR(C3)),"Yes","No")</f>
        <v>No</v>
      </c>
      <c r="I3">
        <v>102</v>
      </c>
      <c r="J3">
        <f>COUNTIFS(D:D,I3,F:F,"Yes")</f>
        <v>0</v>
      </c>
      <c r="K3">
        <f>COUNTIFS(D:D,I3,G:G,"Yes")</f>
        <v>0</v>
      </c>
    </row>
    <row r="4" spans="1:11">
      <c r="A4">
        <v>3</v>
      </c>
      <c r="B4" t="s">
        <v>16</v>
      </c>
      <c r="C4" t="s">
        <v>17</v>
      </c>
      <c r="D4">
        <v>101</v>
      </c>
      <c r="E4" t="s">
        <v>18</v>
      </c>
      <c r="F4" t="str">
        <f>IF(INT(B4)=INT(C4),"Yes","No")</f>
        <v>Yes</v>
      </c>
      <c r="G4" t="str">
        <f>IF(AND(INT(B4)=INT(C4),HOUR(B4)=HOUR(C4)),"Yes","No")</f>
        <v>Yes</v>
      </c>
      <c r="I4">
        <v>103</v>
      </c>
      <c r="J4">
        <f>COUNTIFS(D:D,I4,F:F,"Yes")</f>
        <v>1</v>
      </c>
      <c r="K4">
        <f>COUNTIFS(D:D,I4,G:G,"Yes")</f>
        <v>0</v>
      </c>
    </row>
    <row r="5" spans="1:11">
      <c r="A5">
        <v>4</v>
      </c>
      <c r="B5" t="s">
        <v>19</v>
      </c>
      <c r="C5" t="s">
        <v>20</v>
      </c>
      <c r="D5">
        <v>103</v>
      </c>
      <c r="E5" t="s">
        <v>21</v>
      </c>
      <c r="F5" t="str">
        <f>IF(INT(B5)=INT(C5),"Yes","No")</f>
        <v>Yes</v>
      </c>
      <c r="G5" t="str">
        <f>IF(AND(INT(B5)=INT(C5),HOUR(B5)=HOUR(C5)),"Yes","No")</f>
        <v>No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"/>
    </sheetView>
  </sheetViews>
  <sheetFormatPr defaultColWidth="9" defaultRowHeight="14.4" outlineLevelRow="4" outlineLevelCol="3"/>
  <sheetData>
    <row r="1" spans="1:4">
      <c r="A1" t="s">
        <v>4</v>
      </c>
      <c r="B1" t="s">
        <v>22</v>
      </c>
      <c r="C1" t="s">
        <v>23</v>
      </c>
      <c r="D1" t="s">
        <v>24</v>
      </c>
    </row>
    <row r="2" spans="1:4">
      <c r="A2" t="s">
        <v>12</v>
      </c>
      <c r="B2" t="s">
        <v>25</v>
      </c>
      <c r="C2">
        <v>5</v>
      </c>
      <c r="D2" t="str">
        <f>INDEX(ticket!$B:$B,MATCH(A2,ticket!$E:$E,0))</f>
        <v>2026-01-01 10:00:00</v>
      </c>
    </row>
    <row r="3" spans="1:4">
      <c r="A3" t="s">
        <v>15</v>
      </c>
      <c r="B3" t="s">
        <v>26</v>
      </c>
      <c r="C3">
        <v>4</v>
      </c>
      <c r="D3" t="str">
        <f>INDEX(ticket!$B:$B,MATCH(A3,ticket!$E:$E,0))</f>
        <v>2026-01-01 11:00:00</v>
      </c>
    </row>
    <row r="4" spans="1:4">
      <c r="A4" t="s">
        <v>18</v>
      </c>
      <c r="B4" t="s">
        <v>27</v>
      </c>
      <c r="C4">
        <v>3</v>
      </c>
      <c r="D4" t="str">
        <f>INDEX(ticket!$B:$B,MATCH(A4,ticket!$E:$E,0))</f>
        <v>2026-01-02 09:00:00</v>
      </c>
    </row>
    <row r="5" spans="1:4">
      <c r="A5" t="s">
        <v>21</v>
      </c>
      <c r="B5" t="s">
        <v>28</v>
      </c>
      <c r="C5">
        <v>2</v>
      </c>
      <c r="D5" t="str">
        <f>INDEX(ticket!$B:$B,MATCH(A5,ticket!$E:$E,0))</f>
        <v>2026-01-02 14:00:00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2026-04-08T15:43:00Z</dcterms:created>
  <dcterms:modified xsi:type="dcterms:W3CDTF">2026-04-08T15:47:57Z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EB92F08B9ECC4BA3A5D8E2B1C73F56A7_12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